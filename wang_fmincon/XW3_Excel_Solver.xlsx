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amma\OneDrive\바탕 화면\LEE\2026-1\최적설계\Optimum_Design_Proj\사이클로이드 감속기\OptimumDesign_CycloidReducer\wang_fmincon\"/>
    </mc:Choice>
  </mc:AlternateContent>
  <xr:revisionPtr revIDLastSave="0" documentId="13_ncr:1_{E1049D69-77A6-4410-A1CD-BD422C6B54A0}" xr6:coauthVersionLast="47" xr6:coauthVersionMax="47" xr10:uidLastSave="{00000000-0000-0000-0000-000000000000}"/>
  <bookViews>
    <workbookView xWindow="-98" yWindow="-98" windowWidth="21795" windowHeight="12975" tabRatio="500" activeTab="3" xr2:uid="{00000000-000D-0000-FFFF-FFFF00000000}"/>
  </bookViews>
  <sheets>
    <sheet name="안내" sheetId="1" r:id="rId1"/>
    <sheet name="고정변수_참조" sheetId="2" r:id="rId2"/>
    <sheet name="최적화_메인" sheetId="3" r:id="rId3"/>
    <sheet name="결과_비교" sheetId="4" r:id="rId4"/>
  </sheets>
  <definedNames>
    <definedName name="solver_adj" localSheetId="2" hidden="1">최적화_메인!$C$5:$C$6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최적화_메인!$C$24</definedName>
    <definedName name="solver_lhs2" localSheetId="2" hidden="1">최적화_메인!$C$27</definedName>
    <definedName name="solver_lhs3" localSheetId="2" hidden="1">최적화_메인!$C$28</definedName>
    <definedName name="solver_lhs4" localSheetId="2" hidden="1">최적화_메인!$C$5</definedName>
    <definedName name="solver_lhs5" localSheetId="2" hidden="1">최적화_메인!$C$5</definedName>
    <definedName name="solver_lhs6" localSheetId="2" hidden="1">최적화_메인!$C$6</definedName>
    <definedName name="solver_lhs7" localSheetId="2" hidden="1">최적화_메인!$C$6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7</definedName>
    <definedName name="solver_nwt" localSheetId="2" hidden="1">1</definedName>
    <definedName name="solver_opt" localSheetId="2" hidden="1">최적화_메인!$C$14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el5" localSheetId="2" hidden="1">3</definedName>
    <definedName name="solver_rel6" localSheetId="2" hidden="1">1</definedName>
    <definedName name="solver_rel7" localSheetId="2" hidden="1">3</definedName>
    <definedName name="solver_rhs1" localSheetId="2" hidden="1">0</definedName>
    <definedName name="solver_rhs2" localSheetId="2" hidden="1">0</definedName>
    <definedName name="solver_rhs3" localSheetId="2" hidden="1">0</definedName>
    <definedName name="solver_rhs4" localSheetId="2" hidden="1">최적화_메인!$E$5</definedName>
    <definedName name="solver_rhs5" localSheetId="2" hidden="1">최적화_메인!$D$5</definedName>
    <definedName name="solver_rhs6" localSheetId="2" hidden="1">최적화_메인!$E$6</definedName>
    <definedName name="solver_rhs7" localSheetId="2" hidden="1">최적화_메인!$D$6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4" l="1"/>
  <c r="E12" i="4"/>
  <c r="E8" i="4"/>
  <c r="E7" i="4"/>
  <c r="C30" i="3"/>
  <c r="C29" i="3"/>
  <c r="C28" i="3"/>
  <c r="C27" i="3"/>
  <c r="C26" i="3"/>
  <c r="C25" i="3"/>
  <c r="C24" i="3"/>
  <c r="C19" i="3"/>
  <c r="C17" i="3"/>
  <c r="C14" i="3"/>
  <c r="C10" i="3"/>
  <c r="C9" i="3"/>
  <c r="C8" i="3"/>
  <c r="C7" i="3"/>
  <c r="E30" i="3" l="1"/>
  <c r="E29" i="3"/>
  <c r="E28" i="3"/>
  <c r="E27" i="3"/>
  <c r="E26" i="3"/>
  <c r="E25" i="3"/>
  <c r="E24" i="3"/>
  <c r="C18" i="3"/>
  <c r="C20" i="3" s="1"/>
</calcChain>
</file>

<file path=xl/sharedStrings.xml><?xml version="1.0" encoding="utf-8"?>
<sst xmlns="http://schemas.openxmlformats.org/spreadsheetml/2006/main" count="194" uniqueCount="159">
  <si>
    <r>
      <rPr>
        <b/>
        <sz val="16"/>
        <color rgb="FFFFFFFF"/>
        <rFont val="Arial"/>
        <family val="2"/>
      </rPr>
      <t>XW3</t>
    </r>
    <r>
      <rPr>
        <b/>
        <sz val="16"/>
        <color rgb="FFFFFFFF"/>
        <rFont val="Noto Sans CJK SC"/>
        <family val="2"/>
      </rPr>
      <t>형 사이클로이드 감속기 체적 최소화 — 엑셀 해찾기</t>
    </r>
    <r>
      <rPr>
        <b/>
        <sz val="16"/>
        <color rgb="FFFFFFFF"/>
        <rFont val="Arial"/>
        <family val="2"/>
      </rPr>
      <t xml:space="preserve">(GRG </t>
    </r>
    <r>
      <rPr>
        <b/>
        <sz val="16"/>
        <color rgb="FFFFFFFF"/>
        <rFont val="Noto Sans CJK SC"/>
        <family val="2"/>
      </rPr>
      <t>비선형</t>
    </r>
    <r>
      <rPr>
        <b/>
        <sz val="16"/>
        <color rgb="FFFFFFFF"/>
        <rFont val="Arial"/>
        <family val="2"/>
      </rPr>
      <t xml:space="preserve">) </t>
    </r>
    <r>
      <rPr>
        <b/>
        <sz val="16"/>
        <color rgb="FFFFFFFF"/>
        <rFont val="Noto Sans CJK SC"/>
        <family val="2"/>
      </rPr>
      <t>최적설계</t>
    </r>
  </si>
  <si>
    <t>📋 파일 구성</t>
  </si>
  <si>
    <t xml:space="preserve">  • 안내         : 이 시트 — 파일 사용 방법 및 구성 설명</t>
  </si>
  <si>
    <t xml:space="preserve">  • 최적화_메인  : 설계변수, 목적함수, 제약조건 전체 모델 (해찾기 실행 시트)</t>
  </si>
  <si>
    <t xml:space="preserve">  • 고정변수_참조 : 4개 고정 설계변수 및 공통 상수 정의</t>
  </si>
  <si>
    <t xml:space="preserve">  • 결과_비교    : 엑셀 GRG 결과 vs MATLAB SQP 결과 비교표</t>
  </si>
  <si>
    <t>⚙️ 해찾기 실행 방법</t>
  </si>
  <si>
    <r>
      <rPr>
        <sz val="10"/>
        <color rgb="FF000000"/>
        <rFont val="Arial"/>
        <family val="2"/>
      </rPr>
      <t xml:space="preserve">  1. [</t>
    </r>
    <r>
      <rPr>
        <sz val="10"/>
        <color rgb="FF000000"/>
        <rFont val="Noto Sans CJK SC"/>
        <family val="2"/>
      </rPr>
      <t>최적화</t>
    </r>
    <r>
      <rPr>
        <sz val="10"/>
        <color rgb="FF000000"/>
        <rFont val="Arial"/>
        <family val="2"/>
      </rPr>
      <t>_</t>
    </r>
    <r>
      <rPr>
        <sz val="10"/>
        <color rgb="FF000000"/>
        <rFont val="Noto Sans CJK SC"/>
        <family val="2"/>
      </rPr>
      <t>메인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Noto Sans CJK SC"/>
        <family val="2"/>
      </rPr>
      <t>시트로 이동</t>
    </r>
  </si>
  <si>
    <r>
      <rPr>
        <sz val="10"/>
        <color rgb="FF000000"/>
        <rFont val="Arial"/>
        <family val="2"/>
      </rPr>
      <t xml:space="preserve">  2. Excel </t>
    </r>
    <r>
      <rPr>
        <sz val="10"/>
        <color rgb="FF000000"/>
        <rFont val="Noto Sans CJK SC"/>
        <family val="2"/>
      </rPr>
      <t xml:space="preserve">메뉴 </t>
    </r>
    <r>
      <rPr>
        <sz val="10"/>
        <color rgb="FF000000"/>
        <rFont val="Arial"/>
        <family val="2"/>
      </rPr>
      <t>[</t>
    </r>
    <r>
      <rPr>
        <sz val="10"/>
        <color rgb="FF000000"/>
        <rFont val="Noto Sans CJK SC"/>
        <family val="2"/>
      </rPr>
      <t>데이터</t>
    </r>
    <r>
      <rPr>
        <sz val="10"/>
        <color rgb="FF000000"/>
        <rFont val="Arial"/>
        <family val="2"/>
      </rPr>
      <t>] → [</t>
    </r>
    <r>
      <rPr>
        <sz val="10"/>
        <color rgb="FF000000"/>
        <rFont val="Noto Sans CJK SC"/>
        <family val="2"/>
      </rPr>
      <t>해찾기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Noto Sans CJK SC"/>
        <family val="2"/>
      </rPr>
      <t>클릭</t>
    </r>
  </si>
  <si>
    <r>
      <rPr>
        <sz val="10"/>
        <color rgb="FF000000"/>
        <rFont val="Arial"/>
        <family val="2"/>
      </rPr>
      <t xml:space="preserve">  3. </t>
    </r>
    <r>
      <rPr>
        <sz val="10"/>
        <color rgb="FF000000"/>
        <rFont val="Noto Sans CJK SC"/>
        <family val="2"/>
      </rPr>
      <t>목표 설정</t>
    </r>
    <r>
      <rPr>
        <sz val="10"/>
        <color rgb="FF000000"/>
        <rFont val="Arial"/>
        <family val="2"/>
      </rPr>
      <t>: $C$8 (</t>
    </r>
    <r>
      <rPr>
        <sz val="10"/>
        <color rgb="FF000000"/>
        <rFont val="Noto Sans CJK SC"/>
        <family val="2"/>
      </rPr>
      <t xml:space="preserve">체적 </t>
    </r>
    <r>
      <rPr>
        <sz val="10"/>
        <color rgb="FF000000"/>
        <rFont val="Arial"/>
        <family val="2"/>
      </rPr>
      <t xml:space="preserve">V) / </t>
    </r>
    <r>
      <rPr>
        <sz val="10"/>
        <color rgb="FF000000"/>
        <rFont val="Noto Sans CJK SC"/>
        <family val="2"/>
      </rPr>
      <t>최솟값 선택</t>
    </r>
  </si>
  <si>
    <r>
      <rPr>
        <sz val="10"/>
        <color rgb="FF000000"/>
        <rFont val="Arial"/>
        <family val="2"/>
      </rPr>
      <t xml:space="preserve">  4. </t>
    </r>
    <r>
      <rPr>
        <sz val="10"/>
        <color rgb="FF000000"/>
        <rFont val="Noto Sans CJK SC"/>
        <family val="2"/>
      </rPr>
      <t>변수 셀</t>
    </r>
    <r>
      <rPr>
        <sz val="10"/>
        <color rgb="FF000000"/>
        <rFont val="Arial"/>
        <family val="2"/>
      </rPr>
      <t>: $C$5:$C$6 (drp, K1)</t>
    </r>
  </si>
  <si>
    <r>
      <rPr>
        <sz val="10"/>
        <color rgb="FF000000"/>
        <rFont val="Arial"/>
        <family val="2"/>
      </rPr>
      <t xml:space="preserve">  5. </t>
    </r>
    <r>
      <rPr>
        <sz val="10"/>
        <color rgb="FF000000"/>
        <rFont val="Noto Sans CJK SC"/>
        <family val="2"/>
      </rPr>
      <t>제약 조건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 xml:space="preserve">이미 설정됨 — 확인 후 </t>
    </r>
    <r>
      <rPr>
        <sz val="10"/>
        <color rgb="FF000000"/>
        <rFont val="Arial"/>
        <family val="2"/>
      </rPr>
      <t>[</t>
    </r>
    <r>
      <rPr>
        <sz val="10"/>
        <color rgb="FF000000"/>
        <rFont val="Noto Sans CJK SC"/>
        <family val="2"/>
      </rPr>
      <t>해찾기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Noto Sans CJK SC"/>
        <family val="2"/>
      </rPr>
      <t>실행</t>
    </r>
  </si>
  <si>
    <r>
      <rPr>
        <sz val="10"/>
        <color rgb="FF000000"/>
        <rFont val="Arial"/>
        <family val="2"/>
      </rPr>
      <t xml:space="preserve">  6. </t>
    </r>
    <r>
      <rPr>
        <sz val="10"/>
        <color rgb="FF000000"/>
        <rFont val="Noto Sans CJK SC"/>
        <family val="2"/>
      </rPr>
      <t>해법 선택</t>
    </r>
    <r>
      <rPr>
        <sz val="10"/>
        <color rgb="FF000000"/>
        <rFont val="Arial"/>
        <family val="2"/>
      </rPr>
      <t xml:space="preserve">: GRG </t>
    </r>
    <r>
      <rPr>
        <sz val="10"/>
        <color rgb="FF000000"/>
        <rFont val="Noto Sans CJK SC"/>
        <family val="2"/>
      </rPr>
      <t>비선형</t>
    </r>
  </si>
  <si>
    <t>📌 주의사항</t>
  </si>
  <si>
    <t xml:space="preserve">  • 파란색(파란 글씨) 셀: 설계변수 입력값 — 해찾기가 이 값을 변경합니다</t>
  </si>
  <si>
    <t xml:space="preserve">  • 수식 셀은 절대 직접 수정하지 마세요</t>
  </si>
  <si>
    <t xml:space="preserve">  • 해찾기 실행 전 [고정변수_참조] 시트의 고정값이 올바른지 확인하세요</t>
  </si>
  <si>
    <t xml:space="preserve">  • 다른 초기점 테스트: C5, C6 값을 바꾸고 해찾기를 재실행하세요</t>
  </si>
  <si>
    <t>고정 설계변수 및 공통 상수</t>
  </si>
  <si>
    <t>고정 설계변수 (단목적 최적해에서 고정)</t>
  </si>
  <si>
    <t>변수</t>
  </si>
  <si>
    <t>값 (고정)</t>
  </si>
  <si>
    <t>단위</t>
  </si>
  <si>
    <t>설명</t>
  </si>
  <si>
    <t>Dp</t>
  </si>
  <si>
    <t>mm</t>
  </si>
  <si>
    <t>핀 기어 중심원 직경 (하한 수렴)</t>
  </si>
  <si>
    <t>B</t>
  </si>
  <si>
    <t>사이클로이드 기어 폭 (하한 수렴)</t>
  </si>
  <si>
    <t>D</t>
  </si>
  <si>
    <t>중심홀 직경 (상한 수렴)</t>
  </si>
  <si>
    <t>dsw</t>
  </si>
  <si>
    <t>출력 핀 직경 (상한 수렴)</t>
  </si>
  <si>
    <t>공통 상수</t>
  </si>
  <si>
    <t>기호</t>
  </si>
  <si>
    <t>값</t>
  </si>
  <si>
    <t>의미</t>
  </si>
  <si>
    <t>zc</t>
  </si>
  <si>
    <t>-</t>
  </si>
  <si>
    <t>사이클로이드 기어 치형 수 (= 전달비)</t>
  </si>
  <si>
    <t>zp</t>
  </si>
  <si>
    <t>핀 기어 핀 수</t>
  </si>
  <si>
    <t>zw</t>
  </si>
  <si>
    <t>출력 핀 수</t>
  </si>
  <si>
    <t>Delta2</t>
  </si>
  <si>
    <t>핀 슬리브 벽 두께</t>
  </si>
  <si>
    <t>Dw</t>
  </si>
  <si>
    <t>출력 핀 중심원 직경 (변화 없음)</t>
  </si>
  <si>
    <t>mu</t>
  </si>
  <si>
    <t>핀-기어 마찰계수</t>
  </si>
  <si>
    <t>fw</t>
  </si>
  <si>
    <t>출력부 마찰계수</t>
  </si>
  <si>
    <t>eta_zx</t>
  </si>
  <si>
    <t>피벗 암 베어링 효율</t>
  </si>
  <si>
    <t>eta_gx</t>
  </si>
  <si>
    <t>롤링 베어링 효율</t>
  </si>
  <si>
    <t>n</t>
  </si>
  <si>
    <t>rpm</t>
  </si>
  <si>
    <t>입력 회전수</t>
  </si>
  <si>
    <t>P</t>
  </si>
  <si>
    <t>kW</t>
  </si>
  <si>
    <t>입력 동력</t>
  </si>
  <si>
    <r>
      <rPr>
        <b/>
        <sz val="13"/>
        <color rgb="FFFFFFFF"/>
        <rFont val="Arial"/>
        <family val="2"/>
      </rPr>
      <t>XW3</t>
    </r>
    <r>
      <rPr>
        <b/>
        <sz val="13"/>
        <color rgb="FFFFFFFF"/>
        <rFont val="Noto Sans CJK SC"/>
        <family val="2"/>
      </rPr>
      <t>형 사이클로이드 감속기 — 엑셀 해찾기</t>
    </r>
    <r>
      <rPr>
        <b/>
        <sz val="13"/>
        <color rgb="FFFFFFFF"/>
        <rFont val="Arial"/>
        <family val="2"/>
      </rPr>
      <t xml:space="preserve">(GRG </t>
    </r>
    <r>
      <rPr>
        <b/>
        <sz val="13"/>
        <color rgb="FFFFFFFF"/>
        <rFont val="Noto Sans CJK SC"/>
        <family val="2"/>
      </rPr>
      <t>비선형</t>
    </r>
    <r>
      <rPr>
        <b/>
        <sz val="13"/>
        <color rgb="FFFFFFFF"/>
        <rFont val="Arial"/>
        <family val="2"/>
      </rPr>
      <t xml:space="preserve">) </t>
    </r>
    <r>
      <rPr>
        <b/>
        <sz val="13"/>
        <color rgb="FFFFFFFF"/>
        <rFont val="Noto Sans CJK SC"/>
        <family val="2"/>
      </rPr>
      <t>체적 최소화</t>
    </r>
  </si>
  <si>
    <t>① 설계변수  (파란 글씨 셀 = 해찾기가 조정하는 값)</t>
  </si>
  <si>
    <t>현재값 (초기값)</t>
  </si>
  <si>
    <t>하한</t>
  </si>
  <si>
    <t>상한</t>
  </si>
  <si>
    <r>
      <rPr>
        <b/>
        <sz val="10"/>
        <color rgb="FF000000"/>
        <rFont val="Arial"/>
        <family val="2"/>
      </rPr>
      <t>drp  (</t>
    </r>
    <r>
      <rPr>
        <b/>
        <sz val="10"/>
        <color rgb="FF000000"/>
        <rFont val="Noto Sans CJK SC"/>
        <family val="2"/>
      </rPr>
      <t>핀 직경</t>
    </r>
    <r>
      <rPr>
        <b/>
        <sz val="10"/>
        <color rgb="FF000000"/>
        <rFont val="Arial"/>
        <family val="2"/>
      </rPr>
      <t>)</t>
    </r>
  </si>
  <si>
    <t>핀 기어 핀 직경 — 해찾기 조정 변수 1</t>
  </si>
  <si>
    <r>
      <rPr>
        <b/>
        <sz val="10"/>
        <color rgb="FF000000"/>
        <rFont val="Arial"/>
        <family val="2"/>
      </rPr>
      <t>K1  (</t>
    </r>
    <r>
      <rPr>
        <b/>
        <sz val="10"/>
        <color rgb="FF000000"/>
        <rFont val="Noto Sans CJK SC"/>
        <family val="2"/>
      </rPr>
      <t>단폭계수</t>
    </r>
    <r>
      <rPr>
        <b/>
        <sz val="10"/>
        <color rgb="FF000000"/>
        <rFont val="Arial"/>
        <family val="2"/>
      </rPr>
      <t>)</t>
    </r>
  </si>
  <si>
    <t>—</t>
  </si>
  <si>
    <t>단폭계수 — 해찾기 조정 변수 2  (이빨 형상 결정 파라미터)</t>
  </si>
  <si>
    <r>
      <rPr>
        <sz val="10"/>
        <color rgb="FF000000"/>
        <rFont val="Arial"/>
        <family val="2"/>
      </rPr>
      <t>Dp  (</t>
    </r>
    <r>
      <rPr>
        <sz val="10"/>
        <color rgb="FF000000"/>
        <rFont val="Noto Sans CJK SC"/>
        <family val="2"/>
      </rPr>
      <t>핀 중심원 직경</t>
    </r>
    <r>
      <rPr>
        <sz val="10"/>
        <color rgb="FF000000"/>
        <rFont val="Arial"/>
        <family val="2"/>
      </rPr>
      <t>)</t>
    </r>
  </si>
  <si>
    <t>고정 (단목적 최적해 하한 수렴값)</t>
  </si>
  <si>
    <r>
      <rPr>
        <sz val="10"/>
        <color rgb="FF000000"/>
        <rFont val="Arial"/>
        <family val="2"/>
      </rPr>
      <t>B   (</t>
    </r>
    <r>
      <rPr>
        <sz val="10"/>
        <color rgb="FF000000"/>
        <rFont val="Noto Sans CJK SC"/>
        <family val="2"/>
      </rPr>
      <t>기어 폭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</si>
  <si>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D   (</t>
    </r>
    <r>
      <rPr>
        <sz val="10"/>
        <color rgb="FF000000"/>
        <rFont val="Noto Sans CJK SC"/>
        <family val="2"/>
      </rPr>
      <t>중심홀 직경</t>
    </r>
    <r>
      <rPr>
        <sz val="10"/>
        <color rgb="FF000000"/>
        <rFont val="Arial"/>
        <family val="2"/>
      </rPr>
      <t>)</t>
    </r>
  </si>
  <si>
    <t>고정 (단목적 최적해 상한 수렴값)</t>
  </si>
  <si>
    <r>
      <rPr>
        <sz val="10"/>
        <color rgb="FF000000"/>
        <rFont val="Arial"/>
        <family val="2"/>
      </rPr>
      <t>dsw (</t>
    </r>
    <r>
      <rPr>
        <sz val="10"/>
        <color rgb="FF000000"/>
        <rFont val="Noto Sans CJK SC"/>
        <family val="2"/>
      </rPr>
      <t>출력 핀 직경</t>
    </r>
    <r>
      <rPr>
        <sz val="10"/>
        <color rgb="FF000000"/>
        <rFont val="Arial"/>
        <family val="2"/>
      </rPr>
      <t>)</t>
    </r>
  </si>
  <si>
    <t>② 목적함수 — 체적 V(X)  [최솟값 목표]</t>
  </si>
  <si>
    <t>수식 구조</t>
  </si>
  <si>
    <t>V = (π·B/4)·[(Dp - K1·Dp/zp - drp)² - (dsw + 2·Δ₂ + K1·Dp/zp)²·zw - D²] + K1·(Dp/zp)·zc·B</t>
  </si>
  <si>
    <t>체적 V (mm³)  ← 목표 셀</t>
  </si>
  <si>
    <t>▲ 해찾기 목표 셀 (최솟값)</t>
  </si>
  <si>
    <t>③ 전달 효율 η  (참고 — 목적함수 아님)</t>
  </si>
  <si>
    <r>
      <rPr>
        <sz val="10"/>
        <color rgb="FF000000"/>
        <rFont val="Arial"/>
        <family val="2"/>
      </rPr>
      <t>η_nx  (</t>
    </r>
    <r>
      <rPr>
        <sz val="10"/>
        <color rgb="FF000000"/>
        <rFont val="Noto Sans CJK SC"/>
        <family val="2"/>
      </rPr>
      <t>가상 순수 기어 효율</t>
    </r>
    <r>
      <rPr>
        <sz val="10"/>
        <color rgb="FF000000"/>
        <rFont val="Arial"/>
        <family val="2"/>
      </rPr>
      <t>)</t>
    </r>
  </si>
  <si>
    <t>1 - (Dp-drp)·4μ / (K1·zc·Dp·π)</t>
  </si>
  <si>
    <r>
      <rPr>
        <sz val="10"/>
        <color rgb="FF000000"/>
        <rFont val="Arial"/>
        <family val="2"/>
      </rPr>
      <t>η_x   (</t>
    </r>
    <r>
      <rPr>
        <sz val="10"/>
        <color rgb="FF000000"/>
        <rFont val="Noto Sans CJK SC"/>
        <family val="2"/>
      </rPr>
      <t>맞물림 효율</t>
    </r>
    <r>
      <rPr>
        <sz val="10"/>
        <color rgb="FF000000"/>
        <rFont val="Arial"/>
        <family val="2"/>
      </rPr>
      <t>)</t>
    </r>
  </si>
  <si>
    <t>η_nx / (1 + zc·(1 - η_nx))</t>
  </si>
  <si>
    <r>
      <rPr>
        <sz val="10"/>
        <color rgb="FF000000"/>
        <rFont val="Arial"/>
        <family val="2"/>
      </rPr>
      <t>η_sx  (</t>
    </r>
    <r>
      <rPr>
        <sz val="10"/>
        <color rgb="FF000000"/>
        <rFont val="Noto Sans CJK SC"/>
        <family val="2"/>
      </rPr>
      <t>출력부 효율</t>
    </r>
    <r>
      <rPr>
        <sz val="10"/>
        <color rgb="FF000000"/>
        <rFont val="Arial"/>
        <family val="2"/>
      </rPr>
      <t>)</t>
    </r>
  </si>
  <si>
    <t>1 - 4·fw·K1·dsw·Dp / (π·Dw·(dsw+2Δ₂))</t>
  </si>
  <si>
    <r>
      <rPr>
        <b/>
        <sz val="10"/>
        <color rgb="FF000000"/>
        <rFont val="Arial"/>
        <family val="2"/>
      </rPr>
      <t>η  (</t>
    </r>
    <r>
      <rPr>
        <b/>
        <sz val="10"/>
        <color rgb="FF000000"/>
        <rFont val="Noto Sans CJK SC"/>
        <family val="2"/>
      </rPr>
      <t>전체 효율</t>
    </r>
    <r>
      <rPr>
        <b/>
        <sz val="10"/>
        <color rgb="FF000000"/>
        <rFont val="Arial"/>
        <family val="2"/>
      </rPr>
      <t xml:space="preserve">)  ← </t>
    </r>
    <r>
      <rPr>
        <b/>
        <sz val="10"/>
        <color rgb="FF000000"/>
        <rFont val="Noto Sans CJK SC"/>
        <family val="2"/>
      </rPr>
      <t>참고값</t>
    </r>
  </si>
  <si>
    <t>η_x · η_zx · η_gx² · η_sx</t>
  </si>
  <si>
    <t>④ 제약조건  (모두 ≤ 0 형태 / 해찾기에서 ≤ 0으로 설정)</t>
  </si>
  <si>
    <t>제약</t>
  </si>
  <si>
    <t>현재값</t>
  </si>
  <si>
    <t>기준값</t>
  </si>
  <si>
    <t>판정</t>
  </si>
  <si>
    <t>내용</t>
  </si>
  <si>
    <t>y1</t>
  </si>
  <si>
    <t>언더컷/첨예화 방지 — drp/2 ≤ Dp/2·√[27(1-K1²)(zp-1)/(zp+1)³]</t>
  </si>
  <si>
    <t>y2</t>
  </si>
  <si>
    <t>단폭계수 하한 — K1 ≥ 0.60</t>
  </si>
  <si>
    <t>y3</t>
  </si>
  <si>
    <t>단폭계수 상한 — K1 ≤ 0.90</t>
  </si>
  <si>
    <t>y4</t>
  </si>
  <si>
    <t>핀직경 계수 하한 — K2 ≥ 1.0</t>
  </si>
  <si>
    <t>y5</t>
  </si>
  <si>
    <t>핀직경 계수 상한 — K2 ≤ 1.6</t>
  </si>
  <si>
    <t>y14</t>
  </si>
  <si>
    <t>기어폭 하한 — B ≥ 0.05·Dp  (고정값이므로 참고)</t>
  </si>
  <si>
    <t>y15</t>
  </si>
  <si>
    <t>기어폭 상한 — B ≤ 0.10·Dp  (고정값이므로 참고)</t>
  </si>
  <si>
    <r>
      <rPr>
        <sz val="9"/>
        <color rgb="FF595959"/>
        <rFont val="Arial"/>
        <family val="2"/>
      </rPr>
      <t xml:space="preserve">* </t>
    </r>
    <r>
      <rPr>
        <sz val="9"/>
        <color rgb="FF595959"/>
        <rFont val="Noto Sans CJK SC"/>
        <family val="2"/>
      </rPr>
      <t>강도 제약</t>
    </r>
    <r>
      <rPr>
        <sz val="9"/>
        <color rgb="FF595959"/>
        <rFont val="Arial"/>
        <family val="2"/>
      </rPr>
      <t xml:space="preserve">(y6~y9), Dp </t>
    </r>
    <r>
      <rPr>
        <sz val="9"/>
        <color rgb="FF595959"/>
        <rFont val="Noto Sans CJK SC"/>
        <family val="2"/>
      </rPr>
      <t>범위</t>
    </r>
    <r>
      <rPr>
        <sz val="9"/>
        <color rgb="FF595959"/>
        <rFont val="Arial"/>
        <family val="2"/>
      </rPr>
      <t xml:space="preserve">(y10,y11), </t>
    </r>
    <r>
      <rPr>
        <sz val="9"/>
        <color rgb="FF595959"/>
        <rFont val="Noto Sans CJK SC"/>
        <family val="2"/>
      </rPr>
      <t>핀홀 기하</t>
    </r>
    <r>
      <rPr>
        <sz val="9"/>
        <color rgb="FF595959"/>
        <rFont val="Arial"/>
        <family val="2"/>
      </rPr>
      <t xml:space="preserve">(y12,y13), </t>
    </r>
    <r>
      <rPr>
        <sz val="9"/>
        <color rgb="FF595959"/>
        <rFont val="Noto Sans CJK SC"/>
        <family val="2"/>
      </rPr>
      <t>베어링 수명</t>
    </r>
    <r>
      <rPr>
        <sz val="9"/>
        <color rgb="FF595959"/>
        <rFont val="Arial"/>
        <family val="2"/>
      </rPr>
      <t>(y16)</t>
    </r>
    <r>
      <rPr>
        <sz val="9"/>
        <color rgb="FF595959"/>
        <rFont val="Noto Sans CJK SC"/>
        <family val="2"/>
      </rPr>
      <t xml:space="preserve">은 </t>
    </r>
    <r>
      <rPr>
        <sz val="9"/>
        <color rgb="FF595959"/>
        <rFont val="Arial"/>
        <family val="2"/>
      </rPr>
      <t xml:space="preserve">Dp,B,D,dsw </t>
    </r>
    <r>
      <rPr>
        <sz val="9"/>
        <color rgb="FF595959"/>
        <rFont val="Noto Sans CJK SC"/>
        <family val="2"/>
      </rPr>
      <t>고정으로 인해 상수화됨 — 별도 확인 불필요</t>
    </r>
  </si>
  <si>
    <t>⑤ 해찾기 설정 가이드</t>
  </si>
  <si>
    <t>목표 설정 (Set Objective)</t>
  </si>
  <si>
    <t>$C$14</t>
  </si>
  <si>
    <t>최적화 방향 (To)</t>
  </si>
  <si>
    <t>최솟값 (Min)</t>
  </si>
  <si>
    <t>변수 셀 (Variable Cells)</t>
  </si>
  <si>
    <t>$C$5:$C$6</t>
  </si>
  <si>
    <t>해법 선택 (Solving Method)</t>
  </si>
  <si>
    <r>
      <rPr>
        <sz val="10"/>
        <color rgb="FF333333"/>
        <rFont val="Courier New"/>
        <family val="3"/>
      </rPr>
      <t xml:space="preserve">GRG </t>
    </r>
    <r>
      <rPr>
        <sz val="10"/>
        <color rgb="FF333333"/>
        <rFont val="Noto Sans CJK SC"/>
        <family val="2"/>
      </rPr>
      <t xml:space="preserve">비선형 </t>
    </r>
    <r>
      <rPr>
        <sz val="10"/>
        <color rgb="FF333333"/>
        <rFont val="Courier New"/>
        <family val="3"/>
      </rPr>
      <t>(GRG Nonlinear)</t>
    </r>
  </si>
  <si>
    <t>제약조건 — drp 하한</t>
  </si>
  <si>
    <t>$C$5 &gt;= 7</t>
  </si>
  <si>
    <t>제약조건 — drp 상한</t>
  </si>
  <si>
    <t>$C$5 &lt;= 10.4</t>
  </si>
  <si>
    <t>제약조건 — K1 하한</t>
  </si>
  <si>
    <t>$C$6 &gt;= 0.60</t>
  </si>
  <si>
    <t>제약조건 — K1 상한</t>
  </si>
  <si>
    <t>$C$6 &lt;= 0.90</t>
  </si>
  <si>
    <t>제약조건 — y1 (언더컷)</t>
  </si>
  <si>
    <t>$C$24 &lt;= 0</t>
  </si>
  <si>
    <t>제약조건 — y4 (K2 하한)</t>
  </si>
  <si>
    <t>$C$27 &lt;= 0</t>
  </si>
  <si>
    <t>제약조건 — y5 (K2 상한)</t>
  </si>
  <si>
    <t>$C$28 &lt;= 0</t>
  </si>
  <si>
    <t>엑셀 GRG 비선형 vs MATLAB SQP 결과 비교</t>
  </si>
  <si>
    <r>
      <rPr>
        <sz val="10"/>
        <color rgb="FF595959"/>
        <rFont val="Arial"/>
        <family val="2"/>
      </rPr>
      <t xml:space="preserve">* </t>
    </r>
    <r>
      <rPr>
        <sz val="10"/>
        <color rgb="FF595959"/>
        <rFont val="Noto Sans CJK SC"/>
        <family val="2"/>
      </rPr>
      <t xml:space="preserve">엑셀 결과는 해찾기 실행 후 </t>
    </r>
    <r>
      <rPr>
        <sz val="10"/>
        <color rgb="FF595959"/>
        <rFont val="Arial"/>
        <family val="2"/>
      </rPr>
      <t>[</t>
    </r>
    <r>
      <rPr>
        <sz val="10"/>
        <color rgb="FF595959"/>
        <rFont val="Noto Sans CJK SC"/>
        <family val="2"/>
      </rPr>
      <t>최적화</t>
    </r>
    <r>
      <rPr>
        <sz val="10"/>
        <color rgb="FF595959"/>
        <rFont val="Arial"/>
        <family val="2"/>
      </rPr>
      <t>_</t>
    </r>
    <r>
      <rPr>
        <sz val="10"/>
        <color rgb="FF595959"/>
        <rFont val="Noto Sans CJK SC"/>
        <family val="2"/>
      </rPr>
      <t>메인</t>
    </r>
    <r>
      <rPr>
        <sz val="10"/>
        <color rgb="FF595959"/>
        <rFont val="Arial"/>
        <family val="2"/>
      </rPr>
      <t xml:space="preserve">] </t>
    </r>
    <r>
      <rPr>
        <sz val="10"/>
        <color rgb="FF595959"/>
        <rFont val="Noto Sans CJK SC"/>
        <family val="2"/>
      </rPr>
      <t>시트의 최적값을 이 표에 직접 입력하세요</t>
    </r>
  </si>
  <si>
    <t>설계변수 비교 (drp, K1)</t>
  </si>
  <si>
    <t>항목</t>
  </si>
  <si>
    <t>초기값</t>
  </si>
  <si>
    <t>MATLAB SQP</t>
  </si>
  <si>
    <t>Excel GRG</t>
  </si>
  <si>
    <t>차이</t>
  </si>
  <si>
    <r>
      <rPr>
        <sz val="10"/>
        <color rgb="FF000000"/>
        <rFont val="Arial"/>
        <family val="2"/>
      </rPr>
      <t>drp (</t>
    </r>
    <r>
      <rPr>
        <sz val="10"/>
        <color rgb="FF000000"/>
        <rFont val="Noto Sans CJK SC"/>
        <family val="2"/>
      </rPr>
      <t>핀 직경</t>
    </r>
    <r>
      <rPr>
        <sz val="10"/>
        <color rgb="FF000000"/>
        <rFont val="Arial"/>
        <family val="2"/>
      </rPr>
      <t>, mm)</t>
    </r>
  </si>
  <si>
    <t>해찾기 결과 입력 후 계산</t>
  </si>
  <si>
    <r>
      <rPr>
        <sz val="10"/>
        <color rgb="FF000000"/>
        <rFont val="Arial"/>
        <family val="2"/>
      </rPr>
      <t>K1 (</t>
    </r>
    <r>
      <rPr>
        <sz val="10"/>
        <color rgb="FF000000"/>
        <rFont val="Noto Sans CJK SC"/>
        <family val="2"/>
      </rPr>
      <t>단폭계수</t>
    </r>
    <r>
      <rPr>
        <sz val="10"/>
        <color rgb="FF000000"/>
        <rFont val="Arial"/>
        <family val="2"/>
      </rPr>
      <t>)</t>
    </r>
  </si>
  <si>
    <t>성능 비교</t>
  </si>
  <si>
    <t>초기 설계</t>
  </si>
  <si>
    <t>비고</t>
  </si>
  <si>
    <t>체적 V (mm³)</t>
  </si>
  <si>
    <t>해찾기 결과 입력 후 비교</t>
  </si>
  <si>
    <t>전달 효율 η</t>
  </si>
  <si>
    <t>📌 해석 노트</t>
  </si>
  <si>
    <r>
      <rPr>
        <sz val="10"/>
        <color rgb="FF000000"/>
        <rFont val="Arial"/>
        <family val="2"/>
      </rPr>
      <t xml:space="preserve">• GRG </t>
    </r>
    <r>
      <rPr>
        <sz val="10"/>
        <color rgb="FF000000"/>
        <rFont val="Noto Sans CJK SC"/>
        <family val="2"/>
      </rPr>
      <t xml:space="preserve">비선형은 </t>
    </r>
    <r>
      <rPr>
        <sz val="10"/>
        <color rgb="FF000000"/>
        <rFont val="Arial"/>
        <family val="2"/>
      </rPr>
      <t>SQP</t>
    </r>
    <r>
      <rPr>
        <sz val="10"/>
        <color rgb="FF000000"/>
        <rFont val="Noto Sans CJK SC"/>
        <family val="2"/>
      </rPr>
      <t>와 동일 계열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경도 기반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이므로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같은 초기점에서 같은 최적해로 수렴해야 한다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</si>
  <si>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• Dp, B, D, dsw</t>
    </r>
    <r>
      <rPr>
        <sz val="10"/>
        <color rgb="FF000000"/>
        <rFont val="Noto Sans CJK SC"/>
        <family val="2"/>
      </rPr>
      <t xml:space="preserve">를 고정한 </t>
    </r>
    <r>
      <rPr>
        <sz val="10"/>
        <color rgb="FF000000"/>
        <rFont val="Arial"/>
        <family val="2"/>
      </rPr>
      <t>2</t>
    </r>
    <r>
      <rPr>
        <sz val="10"/>
        <color rgb="FF000000"/>
        <rFont val="Noto Sans CJK SC"/>
        <family val="2"/>
      </rPr>
      <t>변수 문제이므로</t>
    </r>
    <r>
      <rPr>
        <sz val="10"/>
        <color rgb="FF000000"/>
        <rFont val="Arial"/>
        <family val="2"/>
      </rPr>
      <t>, 7</t>
    </r>
    <r>
      <rPr>
        <sz val="10"/>
        <color rgb="FF000000"/>
        <rFont val="Noto Sans CJK SC"/>
        <family val="2"/>
      </rPr>
      <t>변수 전체 최적화와 결과가 다를 수 있다</t>
    </r>
    <r>
      <rPr>
        <sz val="10"/>
        <color rgb="FF000000"/>
        <rFont val="Arial"/>
        <family val="2"/>
      </rPr>
      <t>.</t>
    </r>
  </si>
  <si>
    <t>• 결과가 일치하면 → 두 방법이 같은 결론을 지지함을 확인하는 교차 검증 역할</t>
  </si>
  <si>
    <t>• 결과가 다르면 → 고정 변수 설정의 한계 또는 알고리즘 차이에 의한 것으로 해석</t>
  </si>
  <si>
    <t>• 다중 초기점 검증: drp, K1의 초기값을 다양하게 바꿔가며 해찾기를 반복 실행해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</si>
</sst>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#,##0.0000"/>
  </numFmts>
  <fonts count="36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6"/>
      <color rgb="FFFFFFFF"/>
      <name val="Noto Sans CJK SC"/>
      <family val="2"/>
    </font>
    <font>
      <b/>
      <sz val="10"/>
      <color rgb="FF1F3864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2"/>
      <color rgb="FFFFFFFF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000000"/>
      <name val="Arial"/>
      <family val="2"/>
    </font>
    <font>
      <sz val="9"/>
      <color rgb="FF333333"/>
      <name val="Courier New"/>
      <family val="3"/>
    </font>
    <font>
      <b/>
      <sz val="13"/>
      <color rgb="FFFFFFFF"/>
      <name val="Arial"/>
      <family val="2"/>
    </font>
    <font>
      <b/>
      <sz val="13"/>
      <color rgb="FFFFFFFF"/>
      <name val="Noto Sans CJK SC"/>
      <family val="2"/>
    </font>
    <font>
      <b/>
      <sz val="11"/>
      <color rgb="FFFFFFFF"/>
      <name val="Noto Sans CJK SC"/>
      <family val="2"/>
      <charset val="1"/>
    </font>
    <font>
      <b/>
      <sz val="10"/>
      <color rgb="FF000000"/>
      <name val="Noto Sans CJK SC"/>
      <family val="2"/>
    </font>
    <font>
      <b/>
      <sz val="11"/>
      <color rgb="FF0070C0"/>
      <name val="Arial"/>
      <family val="2"/>
    </font>
    <font>
      <sz val="10"/>
      <color rgb="FF595959"/>
      <name val="Arial"/>
      <family val="2"/>
    </font>
    <font>
      <sz val="9"/>
      <color rgb="FF595959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b/>
      <sz val="11"/>
      <color rgb="FF1F3864"/>
      <name val="Arial"/>
      <family val="2"/>
    </font>
    <font>
      <sz val="10"/>
      <color rgb="FF006400"/>
      <name val="Noto Sans CJK SC"/>
      <family val="2"/>
      <charset val="1"/>
    </font>
    <font>
      <b/>
      <sz val="11"/>
      <color rgb="FF006400"/>
      <name val="Arial"/>
      <family val="2"/>
    </font>
    <font>
      <sz val="10"/>
      <color rgb="FF333333"/>
      <name val="Courier New"/>
      <family val="3"/>
    </font>
    <font>
      <sz val="11"/>
      <color theme="1"/>
      <name val="Noto Sans CJK SC"/>
      <family val="2"/>
      <charset val="1"/>
    </font>
    <font>
      <sz val="9"/>
      <color rgb="FF000000"/>
      <name val="Noto Sans CJK SC"/>
      <family val="2"/>
      <charset val="1"/>
    </font>
    <font>
      <sz val="9"/>
      <color rgb="FF595959"/>
      <name val="Arial"/>
      <family val="2"/>
    </font>
    <font>
      <sz val="9"/>
      <color rgb="FF595959"/>
      <name val="Noto Sans CJK SC"/>
      <family val="2"/>
    </font>
    <font>
      <sz val="10"/>
      <color rgb="FF333333"/>
      <name val="Noto Sans CJK SC"/>
      <family val="2"/>
      <charset val="1"/>
    </font>
    <font>
      <sz val="10"/>
      <color rgb="FF333333"/>
      <name val="Noto Sans CJK SC"/>
      <family val="2"/>
    </font>
    <font>
      <b/>
      <sz val="13"/>
      <color rgb="FFFFFFFF"/>
      <name val="Noto Sans CJK SC"/>
      <family val="2"/>
      <charset val="1"/>
    </font>
    <font>
      <sz val="10"/>
      <color rgb="FF595959"/>
      <name val="Noto Sans CJK SC"/>
      <family val="2"/>
    </font>
    <font>
      <b/>
      <sz val="10"/>
      <color rgb="FF1F3864"/>
      <name val="Arial"/>
      <family val="2"/>
    </font>
    <font>
      <i/>
      <sz val="10"/>
      <color rgb="FF0070C0"/>
      <name val="Noto Sans CJK SC"/>
      <family val="2"/>
      <charset val="1"/>
    </font>
    <font>
      <sz val="9"/>
      <color rgb="FF888888"/>
      <name val="Noto Sans CJK SC"/>
      <family val="2"/>
      <charset val="1"/>
    </font>
    <font>
      <i/>
      <sz val="10"/>
      <color rgb="FF0070C0"/>
      <name val="Arial"/>
      <family val="2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EEAF1"/>
      </patternFill>
    </fill>
    <fill>
      <patternFill patternType="solid">
        <fgColor rgb="FFFFFFFF"/>
        <bgColor rgb="FFF7F7F7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F7F7F7"/>
      </patternFill>
    </fill>
    <fill>
      <patternFill patternType="solid">
        <fgColor rgb="FFDEEAF1"/>
        <bgColor rgb="FFD6E4F0"/>
      </patternFill>
    </fill>
    <fill>
      <patternFill patternType="solid">
        <fgColor rgb="FFF7F7F7"/>
        <bgColor rgb="FFF2F2F2"/>
      </patternFill>
    </fill>
    <fill>
      <patternFill patternType="solid">
        <fgColor rgb="FFE2EFDA"/>
        <bgColor rgb="FFDEEAF1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3" fillId="2" borderId="3" xfId="0" applyFont="1" applyFill="1" applyBorder="1" applyAlignment="1">
      <alignment horizontal="left" vertical="center" wrapText="1"/>
    </xf>
    <xf numFmtId="0" fontId="25" fillId="9" borderId="3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177" fontId="15" fillId="8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78" fontId="15" fillId="8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76" fontId="16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176" fontId="16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left" vertical="center" wrapText="1"/>
    </xf>
    <xf numFmtId="3" fontId="19" fillId="10" borderId="4" xfId="0" applyNumberFormat="1" applyFont="1" applyFill="1" applyBorder="1" applyAlignment="1">
      <alignment horizontal="center" vertical="center" wrapText="1"/>
    </xf>
    <xf numFmtId="178" fontId="5" fillId="7" borderId="1" xfId="0" applyNumberFormat="1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178" fontId="21" fillId="10" borderId="1" xfId="0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179" fontId="5" fillId="7" borderId="1" xfId="0" applyNumberFormat="1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179" fontId="5" fillId="4" borderId="1" xfId="0" applyNumberFormat="1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left" vertical="center" wrapText="1"/>
    </xf>
    <xf numFmtId="0" fontId="27" fillId="5" borderId="3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3" fontId="34" fillId="8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DEEAF1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7F7F7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3"/>
  <sheetViews>
    <sheetView showGridLines="0" zoomScaleNormal="100" workbookViewId="0"/>
  </sheetViews>
  <sheetFormatPr defaultColWidth="8.6640625" defaultRowHeight="14.25"/>
  <cols>
    <col min="1" max="1" width="3" customWidth="1"/>
    <col min="2" max="2" width="70" customWidth="1"/>
  </cols>
  <sheetData>
    <row r="2" spans="2:2" ht="30" customHeight="1">
      <c r="B2" s="14" t="s">
        <v>0</v>
      </c>
    </row>
    <row r="3" spans="2:2" ht="30" customHeight="1">
      <c r="B3" s="14"/>
    </row>
    <row r="5" spans="2:2" ht="18" customHeight="1">
      <c r="B5" s="15" t="s">
        <v>1</v>
      </c>
    </row>
    <row r="6" spans="2:2" ht="18" customHeight="1">
      <c r="B6" s="16" t="s">
        <v>2</v>
      </c>
    </row>
    <row r="7" spans="2:2" ht="18" customHeight="1">
      <c r="B7" s="16" t="s">
        <v>3</v>
      </c>
    </row>
    <row r="8" spans="2:2" ht="18" customHeight="1">
      <c r="B8" s="16" t="s">
        <v>4</v>
      </c>
    </row>
    <row r="9" spans="2:2" ht="18" customHeight="1">
      <c r="B9" s="16" t="s">
        <v>5</v>
      </c>
    </row>
    <row r="11" spans="2:2" ht="18" customHeight="1">
      <c r="B11" s="15" t="s">
        <v>6</v>
      </c>
    </row>
    <row r="12" spans="2:2" ht="18" customHeight="1">
      <c r="B12" s="17" t="s">
        <v>7</v>
      </c>
    </row>
    <row r="13" spans="2:2" ht="18" customHeight="1">
      <c r="B13" s="17" t="s">
        <v>8</v>
      </c>
    </row>
    <row r="14" spans="2:2" ht="18" customHeight="1">
      <c r="B14" s="17" t="s">
        <v>9</v>
      </c>
    </row>
    <row r="15" spans="2:2" ht="18" customHeight="1">
      <c r="B15" s="17" t="s">
        <v>10</v>
      </c>
    </row>
    <row r="16" spans="2:2" ht="18" customHeight="1">
      <c r="B16" s="17" t="s">
        <v>11</v>
      </c>
    </row>
    <row r="17" spans="2:2" ht="18" customHeight="1">
      <c r="B17" s="17" t="s">
        <v>12</v>
      </c>
    </row>
    <row r="19" spans="2:2" ht="18" customHeight="1">
      <c r="B19" s="18" t="s">
        <v>13</v>
      </c>
    </row>
    <row r="20" spans="2:2" ht="18" customHeight="1">
      <c r="B20" s="19" t="s">
        <v>14</v>
      </c>
    </row>
    <row r="21" spans="2:2" ht="18" customHeight="1">
      <c r="B21" s="19" t="s">
        <v>15</v>
      </c>
    </row>
    <row r="22" spans="2:2" ht="18" customHeight="1">
      <c r="B22" s="19" t="s">
        <v>16</v>
      </c>
    </row>
    <row r="23" spans="2:2" ht="18" customHeight="1">
      <c r="B23" s="19" t="s">
        <v>17</v>
      </c>
    </row>
  </sheetData>
  <mergeCells count="1">
    <mergeCell ref="B2:B3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2"/>
  <sheetViews>
    <sheetView showGridLines="0" zoomScaleNormal="100" workbookViewId="0"/>
  </sheetViews>
  <sheetFormatPr defaultColWidth="8.6640625" defaultRowHeight="14.25"/>
  <cols>
    <col min="1" max="1" width="3" customWidth="1"/>
    <col min="2" max="2" width="22" customWidth="1"/>
    <col min="3" max="3" width="14" customWidth="1"/>
    <col min="4" max="4" width="10" customWidth="1"/>
    <col min="5" max="5" width="30" customWidth="1"/>
  </cols>
  <sheetData>
    <row r="1" spans="2:5" ht="27.75" customHeight="1">
      <c r="B1" s="13" t="s">
        <v>18</v>
      </c>
      <c r="C1" s="13"/>
      <c r="D1" s="13"/>
      <c r="E1" s="13"/>
    </row>
    <row r="3" spans="2:5" ht="15" customHeight="1">
      <c r="B3" s="12" t="s">
        <v>19</v>
      </c>
      <c r="C3" s="12"/>
      <c r="D3" s="12"/>
      <c r="E3" s="12"/>
    </row>
    <row r="4" spans="2:5" ht="18" customHeight="1">
      <c r="B4" s="20" t="s">
        <v>20</v>
      </c>
      <c r="C4" s="20" t="s">
        <v>21</v>
      </c>
      <c r="D4" s="20" t="s">
        <v>22</v>
      </c>
      <c r="E4" s="20" t="s">
        <v>23</v>
      </c>
    </row>
    <row r="5" spans="2:5" ht="18" customHeight="1">
      <c r="B5" s="21" t="s">
        <v>24</v>
      </c>
      <c r="C5" s="22">
        <v>140</v>
      </c>
      <c r="D5" s="23" t="s">
        <v>25</v>
      </c>
      <c r="E5" s="24" t="s">
        <v>26</v>
      </c>
    </row>
    <row r="6" spans="2:5" ht="18" customHeight="1">
      <c r="B6" s="25" t="s">
        <v>27</v>
      </c>
      <c r="C6" s="26">
        <v>7</v>
      </c>
      <c r="D6" s="27" t="s">
        <v>25</v>
      </c>
      <c r="E6" s="16" t="s">
        <v>28</v>
      </c>
    </row>
    <row r="7" spans="2:5" ht="18" customHeight="1">
      <c r="B7" s="21" t="s">
        <v>29</v>
      </c>
      <c r="C7" s="22">
        <v>55</v>
      </c>
      <c r="D7" s="23" t="s">
        <v>25</v>
      </c>
      <c r="E7" s="24" t="s">
        <v>30</v>
      </c>
    </row>
    <row r="8" spans="2:5" ht="18" customHeight="1">
      <c r="B8" s="25" t="s">
        <v>31</v>
      </c>
      <c r="C8" s="26">
        <v>14</v>
      </c>
      <c r="D8" s="27" t="s">
        <v>25</v>
      </c>
      <c r="E8" s="16" t="s">
        <v>32</v>
      </c>
    </row>
    <row r="10" spans="2:5" ht="15" customHeight="1">
      <c r="B10" s="12" t="s">
        <v>33</v>
      </c>
      <c r="C10" s="12"/>
      <c r="D10" s="12"/>
      <c r="E10" s="12"/>
    </row>
    <row r="11" spans="2:5" ht="15" customHeight="1">
      <c r="B11" s="20" t="s">
        <v>34</v>
      </c>
      <c r="C11" s="20" t="s">
        <v>35</v>
      </c>
      <c r="D11" s="20" t="s">
        <v>22</v>
      </c>
      <c r="E11" s="20" t="s">
        <v>36</v>
      </c>
    </row>
    <row r="12" spans="2:5" ht="18" customHeight="1">
      <c r="B12" s="28" t="s">
        <v>37</v>
      </c>
      <c r="C12" s="29">
        <v>43</v>
      </c>
      <c r="D12" s="23" t="s">
        <v>38</v>
      </c>
      <c r="E12" s="24" t="s">
        <v>39</v>
      </c>
    </row>
    <row r="13" spans="2:5" ht="18" customHeight="1">
      <c r="B13" s="30" t="s">
        <v>40</v>
      </c>
      <c r="C13" s="31">
        <v>44</v>
      </c>
      <c r="D13" s="27" t="s">
        <v>38</v>
      </c>
      <c r="E13" s="16" t="s">
        <v>41</v>
      </c>
    </row>
    <row r="14" spans="2:5" ht="18" customHeight="1">
      <c r="B14" s="28" t="s">
        <v>42</v>
      </c>
      <c r="C14" s="29">
        <v>8</v>
      </c>
      <c r="D14" s="23" t="s">
        <v>38</v>
      </c>
      <c r="E14" s="24" t="s">
        <v>43</v>
      </c>
    </row>
    <row r="15" spans="2:5" ht="18" customHeight="1">
      <c r="B15" s="30" t="s">
        <v>44</v>
      </c>
      <c r="C15" s="31">
        <v>2</v>
      </c>
      <c r="D15" s="27" t="s">
        <v>25</v>
      </c>
      <c r="E15" s="16" t="s">
        <v>45</v>
      </c>
    </row>
    <row r="16" spans="2:5" ht="18" customHeight="1">
      <c r="B16" s="28" t="s">
        <v>46</v>
      </c>
      <c r="C16" s="29">
        <v>90</v>
      </c>
      <c r="D16" s="23" t="s">
        <v>25</v>
      </c>
      <c r="E16" s="24" t="s">
        <v>47</v>
      </c>
    </row>
    <row r="17" spans="2:5" ht="18" customHeight="1">
      <c r="B17" s="30" t="s">
        <v>48</v>
      </c>
      <c r="C17" s="31">
        <v>0.05</v>
      </c>
      <c r="D17" s="27" t="s">
        <v>38</v>
      </c>
      <c r="E17" s="16" t="s">
        <v>49</v>
      </c>
    </row>
    <row r="18" spans="2:5" ht="18" customHeight="1">
      <c r="B18" s="28" t="s">
        <v>50</v>
      </c>
      <c r="C18" s="29">
        <v>0.02</v>
      </c>
      <c r="D18" s="23" t="s">
        <v>38</v>
      </c>
      <c r="E18" s="24" t="s">
        <v>51</v>
      </c>
    </row>
    <row r="19" spans="2:5" ht="18" customHeight="1">
      <c r="B19" s="30" t="s">
        <v>52</v>
      </c>
      <c r="C19" s="31">
        <v>0.99</v>
      </c>
      <c r="D19" s="27" t="s">
        <v>38</v>
      </c>
      <c r="E19" s="16" t="s">
        <v>53</v>
      </c>
    </row>
    <row r="20" spans="2:5" ht="18" customHeight="1">
      <c r="B20" s="28" t="s">
        <v>54</v>
      </c>
      <c r="C20" s="29">
        <v>0.995</v>
      </c>
      <c r="D20" s="23" t="s">
        <v>38</v>
      </c>
      <c r="E20" s="24" t="s">
        <v>55</v>
      </c>
    </row>
    <row r="21" spans="2:5" ht="18" customHeight="1">
      <c r="B21" s="30" t="s">
        <v>56</v>
      </c>
      <c r="C21" s="31">
        <v>1440</v>
      </c>
      <c r="D21" s="27" t="s">
        <v>57</v>
      </c>
      <c r="E21" s="16" t="s">
        <v>58</v>
      </c>
    </row>
    <row r="22" spans="2:5" ht="18" customHeight="1">
      <c r="B22" s="28" t="s">
        <v>59</v>
      </c>
      <c r="C22" s="29">
        <v>0.75</v>
      </c>
      <c r="D22" s="23" t="s">
        <v>60</v>
      </c>
      <c r="E22" s="24" t="s">
        <v>61</v>
      </c>
    </row>
  </sheetData>
  <mergeCells count="3">
    <mergeCell ref="B1:E1"/>
    <mergeCell ref="B3:E3"/>
    <mergeCell ref="B10:E10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5"/>
  <sheetViews>
    <sheetView showGridLines="0" zoomScale="70" zoomScaleNormal="70" workbookViewId="0">
      <selection activeCell="I30" sqref="I30"/>
    </sheetView>
  </sheetViews>
  <sheetFormatPr defaultColWidth="8.6640625" defaultRowHeight="14.25"/>
  <cols>
    <col min="1" max="1" width="3" customWidth="1"/>
    <col min="2" max="2" width="26" customWidth="1"/>
    <col min="3" max="6" width="14" customWidth="1"/>
    <col min="7" max="7" width="30" customWidth="1"/>
  </cols>
  <sheetData>
    <row r="1" spans="2:7" ht="31.5" customHeight="1">
      <c r="B1" s="11" t="s">
        <v>62</v>
      </c>
      <c r="C1" s="11"/>
      <c r="D1" s="11"/>
      <c r="E1" s="11"/>
      <c r="F1" s="11"/>
      <c r="G1" s="11"/>
    </row>
    <row r="3" spans="2:7" ht="21.75" customHeight="1">
      <c r="B3" s="10" t="s">
        <v>63</v>
      </c>
      <c r="C3" s="10"/>
      <c r="D3" s="10"/>
      <c r="E3" s="10"/>
      <c r="F3" s="10"/>
      <c r="G3" s="10"/>
    </row>
    <row r="4" spans="2:7" ht="18" customHeight="1">
      <c r="B4" s="20" t="s">
        <v>20</v>
      </c>
      <c r="C4" s="20" t="s">
        <v>64</v>
      </c>
      <c r="D4" s="20" t="s">
        <v>65</v>
      </c>
      <c r="E4" s="20" t="s">
        <v>66</v>
      </c>
      <c r="F4" s="20" t="s">
        <v>22</v>
      </c>
      <c r="G4" s="20" t="s">
        <v>23</v>
      </c>
    </row>
    <row r="5" spans="2:7" ht="19.5" customHeight="1">
      <c r="B5" s="32" t="s">
        <v>67</v>
      </c>
      <c r="C5" s="33">
        <v>9.9874856478925178</v>
      </c>
      <c r="D5" s="22">
        <v>7</v>
      </c>
      <c r="E5" s="22">
        <v>10.4</v>
      </c>
      <c r="F5" s="23" t="s">
        <v>25</v>
      </c>
      <c r="G5" s="24" t="s">
        <v>68</v>
      </c>
    </row>
    <row r="6" spans="2:7" ht="19.5" customHeight="1">
      <c r="B6" s="34" t="s">
        <v>69</v>
      </c>
      <c r="C6" s="35">
        <v>0.7749520791462905</v>
      </c>
      <c r="D6" s="36">
        <v>0.6</v>
      </c>
      <c r="E6" s="36">
        <v>0.9</v>
      </c>
      <c r="F6" s="27" t="s">
        <v>70</v>
      </c>
      <c r="G6" s="16" t="s">
        <v>71</v>
      </c>
    </row>
    <row r="7" spans="2:7" ht="18" customHeight="1">
      <c r="B7" s="37" t="s">
        <v>72</v>
      </c>
      <c r="C7" s="38">
        <f>고정변수_참조!C5</f>
        <v>140</v>
      </c>
      <c r="D7" s="23" t="s">
        <v>70</v>
      </c>
      <c r="E7" s="23" t="s">
        <v>70</v>
      </c>
      <c r="F7" s="23" t="s">
        <v>25</v>
      </c>
      <c r="G7" s="39" t="s">
        <v>73</v>
      </c>
    </row>
    <row r="8" spans="2:7" ht="18" customHeight="1">
      <c r="B8" s="40" t="s">
        <v>74</v>
      </c>
      <c r="C8" s="41">
        <f>고정변수_참조!C6</f>
        <v>7</v>
      </c>
      <c r="D8" s="42" t="s">
        <v>70</v>
      </c>
      <c r="E8" s="42" t="s">
        <v>70</v>
      </c>
      <c r="F8" s="42" t="s">
        <v>25</v>
      </c>
      <c r="G8" s="43" t="s">
        <v>73</v>
      </c>
    </row>
    <row r="9" spans="2:7" ht="18" customHeight="1">
      <c r="B9" s="37" t="s">
        <v>75</v>
      </c>
      <c r="C9" s="38">
        <f>고정변수_참조!C7</f>
        <v>55</v>
      </c>
      <c r="D9" s="23" t="s">
        <v>70</v>
      </c>
      <c r="E9" s="23" t="s">
        <v>70</v>
      </c>
      <c r="F9" s="23" t="s">
        <v>25</v>
      </c>
      <c r="G9" s="39" t="s">
        <v>76</v>
      </c>
    </row>
    <row r="10" spans="2:7" ht="18" customHeight="1">
      <c r="B10" s="40" t="s">
        <v>77</v>
      </c>
      <c r="C10" s="41">
        <f>고정변수_참조!C8</f>
        <v>14</v>
      </c>
      <c r="D10" s="42" t="s">
        <v>70</v>
      </c>
      <c r="E10" s="42" t="s">
        <v>70</v>
      </c>
      <c r="F10" s="42" t="s">
        <v>25</v>
      </c>
      <c r="G10" s="43" t="s">
        <v>76</v>
      </c>
    </row>
    <row r="12" spans="2:7" ht="21.75" customHeight="1">
      <c r="B12" s="10" t="s">
        <v>78</v>
      </c>
      <c r="C12" s="10"/>
      <c r="D12" s="10"/>
      <c r="E12" s="10"/>
      <c r="F12" s="10"/>
      <c r="G12" s="10"/>
    </row>
    <row r="13" spans="2:7" ht="19.5" customHeight="1">
      <c r="B13" s="44" t="s">
        <v>79</v>
      </c>
      <c r="C13" s="9" t="s">
        <v>80</v>
      </c>
      <c r="D13" s="9"/>
      <c r="E13" s="9"/>
      <c r="F13" s="9"/>
      <c r="G13" s="9"/>
    </row>
    <row r="14" spans="2:7" ht="24" customHeight="1">
      <c r="B14" s="45" t="s">
        <v>81</v>
      </c>
      <c r="C14" s="46">
        <f>(PI()/4)*고정변수_참조!C6*((고정변수_참조!C5-C6*고정변수_참조!C5/44-C5)^2-(고정변수_참조!C8+2*고정변수_참조!C15+C6*고정변수_참조!C5/44)^2*8-고정변수_참조!C7^2)+C6*(고정변수_참조!C5/44)*43*고정변수_참조!C6</f>
        <v>55128.490508245086</v>
      </c>
      <c r="D14" s="8" t="s">
        <v>82</v>
      </c>
      <c r="E14" s="8"/>
      <c r="F14" s="8"/>
      <c r="G14" s="8"/>
    </row>
    <row r="16" spans="2:7" ht="21.75" customHeight="1">
      <c r="B16" s="10" t="s">
        <v>83</v>
      </c>
      <c r="C16" s="10"/>
      <c r="D16" s="10"/>
      <c r="E16" s="10"/>
      <c r="F16" s="10"/>
      <c r="G16" s="10"/>
    </row>
    <row r="17" spans="2:7" ht="18" customHeight="1">
      <c r="B17" s="37" t="s">
        <v>84</v>
      </c>
      <c r="C17" s="47">
        <f>1-(고정변수_참조!C5-C5)*4*고정변수_참조!C17/(C6*43*고정변수_참조!C5*PI())</f>
        <v>0.9982258352702823</v>
      </c>
      <c r="D17" s="7" t="s">
        <v>85</v>
      </c>
      <c r="E17" s="7"/>
      <c r="F17" s="7"/>
      <c r="G17" s="7"/>
    </row>
    <row r="18" spans="2:7" ht="18" customHeight="1">
      <c r="B18" s="17" t="s">
        <v>86</v>
      </c>
      <c r="C18" s="48">
        <f>C17/(1+43*(1-C17))</f>
        <v>0.92746999917291506</v>
      </c>
      <c r="D18" s="6" t="s">
        <v>87</v>
      </c>
      <c r="E18" s="6"/>
      <c r="F18" s="6"/>
      <c r="G18" s="6"/>
    </row>
    <row r="19" spans="2:7" ht="18" customHeight="1">
      <c r="B19" s="37" t="s">
        <v>88</v>
      </c>
      <c r="C19" s="47">
        <f>1-4*고정변수_참조!C18*C6*고정변수_참조!C8*고정변수_참조!C5/(PI()*고정변수_참조!C16*(고정변수_참조!C8+2*고정변수_참조!C15))</f>
        <v>0.97612430519024906</v>
      </c>
      <c r="D19" s="7" t="s">
        <v>89</v>
      </c>
      <c r="E19" s="7"/>
      <c r="F19" s="7"/>
      <c r="G19" s="7"/>
    </row>
    <row r="20" spans="2:7" ht="21.75" customHeight="1">
      <c r="B20" s="49" t="s">
        <v>90</v>
      </c>
      <c r="C20" s="50">
        <f>C18*고정변수_참조!C19*고정변수_참조!C20^2*C19</f>
        <v>0.88733242777647714</v>
      </c>
      <c r="D20" s="5" t="s">
        <v>91</v>
      </c>
      <c r="E20" s="5"/>
      <c r="F20" s="5"/>
      <c r="G20" s="5"/>
    </row>
    <row r="22" spans="2:7" ht="21.75" customHeight="1">
      <c r="B22" s="10" t="s">
        <v>92</v>
      </c>
      <c r="C22" s="10"/>
      <c r="D22" s="10"/>
      <c r="E22" s="10"/>
      <c r="F22" s="10"/>
      <c r="G22" s="10"/>
    </row>
    <row r="23" spans="2:7" ht="18" customHeight="1">
      <c r="B23" s="20" t="s">
        <v>93</v>
      </c>
      <c r="C23" s="20" t="s">
        <v>94</v>
      </c>
      <c r="D23" s="20" t="s">
        <v>95</v>
      </c>
      <c r="E23" s="20" t="s">
        <v>96</v>
      </c>
      <c r="F23" s="20" t="s">
        <v>97</v>
      </c>
    </row>
    <row r="24" spans="2:7" ht="18" customHeight="1">
      <c r="B24" s="51" t="s">
        <v>98</v>
      </c>
      <c r="C24" s="47">
        <f>C5/2-고정변수_참조!C5/2*SQRT(27*(1-C6^2)*(44-1)/(44+1)^3)</f>
        <v>-2.9076737018129961E-7</v>
      </c>
      <c r="D24" s="52">
        <v>0</v>
      </c>
      <c r="E24" s="53" t="str">
        <f t="shared" ref="E24:E30" si="0">IF(C24&lt;=0.000001,"✓ 만족","✗ 위반")</f>
        <v>✓ 만족</v>
      </c>
      <c r="F24" s="4" t="s">
        <v>99</v>
      </c>
      <c r="G24" s="4"/>
    </row>
    <row r="25" spans="2:7" ht="18" customHeight="1">
      <c r="B25" s="54" t="s">
        <v>100</v>
      </c>
      <c r="C25" s="48">
        <f>0.6-C6</f>
        <v>-0.17495207914629052</v>
      </c>
      <c r="D25" s="55">
        <v>0</v>
      </c>
      <c r="E25" s="56" t="str">
        <f t="shared" si="0"/>
        <v>✓ 만족</v>
      </c>
      <c r="F25" s="3" t="s">
        <v>101</v>
      </c>
      <c r="G25" s="3"/>
    </row>
    <row r="26" spans="2:7" ht="18" customHeight="1">
      <c r="B26" s="51" t="s">
        <v>102</v>
      </c>
      <c r="C26" s="47">
        <f>C6-0.9</f>
        <v>-0.12504792085370953</v>
      </c>
      <c r="D26" s="52">
        <v>0</v>
      </c>
      <c r="E26" s="53" t="str">
        <f t="shared" si="0"/>
        <v>✓ 만족</v>
      </c>
      <c r="F26" s="4" t="s">
        <v>103</v>
      </c>
      <c r="G26" s="4"/>
    </row>
    <row r="27" spans="2:7" ht="18" customHeight="1">
      <c r="B27" s="54" t="s">
        <v>104</v>
      </c>
      <c r="C27" s="48">
        <f>1-(고정변수_참조!C5/C5*SIN(PI()/44))</f>
        <v>0</v>
      </c>
      <c r="D27" s="55">
        <v>0</v>
      </c>
      <c r="E27" s="56" t="str">
        <f t="shared" si="0"/>
        <v>✓ 만족</v>
      </c>
      <c r="F27" s="3" t="s">
        <v>105</v>
      </c>
      <c r="G27" s="3"/>
    </row>
    <row r="28" spans="2:7" ht="18" customHeight="1">
      <c r="B28" s="51" t="s">
        <v>106</v>
      </c>
      <c r="C28" s="47">
        <f>고정변수_참조!C5/C5*SIN(PI()/44)-1.6</f>
        <v>-0.59999999999999898</v>
      </c>
      <c r="D28" s="52">
        <v>0</v>
      </c>
      <c r="E28" s="53" t="str">
        <f t="shared" si="0"/>
        <v>✓ 만족</v>
      </c>
      <c r="F28" s="4" t="s">
        <v>107</v>
      </c>
      <c r="G28" s="4"/>
    </row>
    <row r="29" spans="2:7" ht="18" customHeight="1">
      <c r="B29" s="54" t="s">
        <v>108</v>
      </c>
      <c r="C29" s="48">
        <f>0.05*고정변수_참조!C5-고정변수_참조!C6</f>
        <v>0</v>
      </c>
      <c r="D29" s="55">
        <v>0</v>
      </c>
      <c r="E29" s="56" t="str">
        <f t="shared" si="0"/>
        <v>✓ 만족</v>
      </c>
      <c r="F29" s="3" t="s">
        <v>109</v>
      </c>
      <c r="G29" s="3"/>
    </row>
    <row r="30" spans="2:7" ht="18" customHeight="1">
      <c r="B30" s="51" t="s">
        <v>110</v>
      </c>
      <c r="C30" s="47">
        <f>고정변수_참조!C6-0.1*고정변수_참조!C5</f>
        <v>-7</v>
      </c>
      <c r="D30" s="52">
        <v>0</v>
      </c>
      <c r="E30" s="53" t="str">
        <f t="shared" si="0"/>
        <v>✓ 만족</v>
      </c>
      <c r="F30" s="4" t="s">
        <v>111</v>
      </c>
      <c r="G30" s="4"/>
    </row>
    <row r="32" spans="2:7" ht="15.75" customHeight="1">
      <c r="B32" s="2" t="s">
        <v>112</v>
      </c>
      <c r="C32" s="2"/>
      <c r="D32" s="2"/>
      <c r="E32" s="2"/>
      <c r="F32" s="2"/>
      <c r="G32" s="2"/>
    </row>
    <row r="34" spans="2:7" ht="21.75" customHeight="1">
      <c r="B34" s="1" t="s">
        <v>113</v>
      </c>
      <c r="C34" s="1"/>
      <c r="D34" s="1"/>
      <c r="E34" s="1"/>
      <c r="F34" s="1"/>
      <c r="G34" s="1"/>
    </row>
    <row r="35" spans="2:7" ht="18" customHeight="1">
      <c r="B35" s="57" t="s">
        <v>114</v>
      </c>
      <c r="C35" s="66" t="s">
        <v>115</v>
      </c>
      <c r="D35" s="66"/>
      <c r="E35" s="66"/>
      <c r="F35" s="66"/>
      <c r="G35" s="66"/>
    </row>
    <row r="36" spans="2:7" ht="18" customHeight="1">
      <c r="B36" s="58" t="s">
        <v>116</v>
      </c>
      <c r="C36" s="67" t="s">
        <v>117</v>
      </c>
      <c r="D36" s="67"/>
      <c r="E36" s="67"/>
      <c r="F36" s="67"/>
      <c r="G36" s="67"/>
    </row>
    <row r="37" spans="2:7" ht="18" customHeight="1">
      <c r="B37" s="57" t="s">
        <v>118</v>
      </c>
      <c r="C37" s="66" t="s">
        <v>119</v>
      </c>
      <c r="D37" s="66"/>
      <c r="E37" s="66"/>
      <c r="F37" s="66"/>
      <c r="G37" s="66"/>
    </row>
    <row r="38" spans="2:7" ht="18" customHeight="1">
      <c r="B38" s="58" t="s">
        <v>120</v>
      </c>
      <c r="C38" s="66" t="s">
        <v>121</v>
      </c>
      <c r="D38" s="66"/>
      <c r="E38" s="66"/>
      <c r="F38" s="66"/>
      <c r="G38" s="66"/>
    </row>
    <row r="39" spans="2:7" ht="18" customHeight="1">
      <c r="B39" s="57" t="s">
        <v>122</v>
      </c>
      <c r="C39" s="66" t="s">
        <v>123</v>
      </c>
      <c r="D39" s="66"/>
      <c r="E39" s="66"/>
      <c r="F39" s="66"/>
      <c r="G39" s="66"/>
    </row>
    <row r="40" spans="2:7" ht="18" customHeight="1">
      <c r="B40" s="58" t="s">
        <v>124</v>
      </c>
      <c r="C40" s="66" t="s">
        <v>125</v>
      </c>
      <c r="D40" s="66"/>
      <c r="E40" s="66"/>
      <c r="F40" s="66"/>
      <c r="G40" s="66"/>
    </row>
    <row r="41" spans="2:7" ht="18" customHeight="1">
      <c r="B41" s="57" t="s">
        <v>126</v>
      </c>
      <c r="C41" s="66" t="s">
        <v>127</v>
      </c>
      <c r="D41" s="66"/>
      <c r="E41" s="66"/>
      <c r="F41" s="66"/>
      <c r="G41" s="66"/>
    </row>
    <row r="42" spans="2:7" ht="18" customHeight="1">
      <c r="B42" s="58" t="s">
        <v>128</v>
      </c>
      <c r="C42" s="66" t="s">
        <v>129</v>
      </c>
      <c r="D42" s="66"/>
      <c r="E42" s="66"/>
      <c r="F42" s="66"/>
      <c r="G42" s="66"/>
    </row>
    <row r="43" spans="2:7" ht="18" customHeight="1">
      <c r="B43" s="57" t="s">
        <v>130</v>
      </c>
      <c r="C43" s="66" t="s">
        <v>131</v>
      </c>
      <c r="D43" s="66"/>
      <c r="E43" s="66"/>
      <c r="F43" s="66"/>
      <c r="G43" s="66"/>
    </row>
    <row r="44" spans="2:7" ht="18" customHeight="1">
      <c r="B44" s="58" t="s">
        <v>132</v>
      </c>
      <c r="C44" s="66" t="s">
        <v>133</v>
      </c>
      <c r="D44" s="66"/>
      <c r="E44" s="66"/>
      <c r="F44" s="66"/>
      <c r="G44" s="66"/>
    </row>
    <row r="45" spans="2:7" ht="18" customHeight="1">
      <c r="B45" s="57" t="s">
        <v>134</v>
      </c>
      <c r="C45" s="66" t="s">
        <v>135</v>
      </c>
      <c r="D45" s="66"/>
      <c r="E45" s="66"/>
      <c r="F45" s="66"/>
      <c r="G45" s="66"/>
    </row>
  </sheetData>
  <mergeCells count="31">
    <mergeCell ref="C45:G45"/>
    <mergeCell ref="C40:G40"/>
    <mergeCell ref="C41:G41"/>
    <mergeCell ref="C42:G42"/>
    <mergeCell ref="C43:G43"/>
    <mergeCell ref="C44:G44"/>
    <mergeCell ref="C35:G35"/>
    <mergeCell ref="C36:G36"/>
    <mergeCell ref="C37:G37"/>
    <mergeCell ref="C38:G38"/>
    <mergeCell ref="C39:G39"/>
    <mergeCell ref="F28:G28"/>
    <mergeCell ref="F29:G29"/>
    <mergeCell ref="F30:G30"/>
    <mergeCell ref="B32:G32"/>
    <mergeCell ref="B34:G34"/>
    <mergeCell ref="B22:G22"/>
    <mergeCell ref="F24:G24"/>
    <mergeCell ref="F25:G25"/>
    <mergeCell ref="F26:G26"/>
    <mergeCell ref="F27:G27"/>
    <mergeCell ref="B16:G16"/>
    <mergeCell ref="D17:G17"/>
    <mergeCell ref="D18:G18"/>
    <mergeCell ref="D19:G19"/>
    <mergeCell ref="D20:G20"/>
    <mergeCell ref="B1:G1"/>
    <mergeCell ref="B3:G3"/>
    <mergeCell ref="B12:G12"/>
    <mergeCell ref="C13:G13"/>
    <mergeCell ref="D14:G14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1"/>
  <sheetViews>
    <sheetView showGridLines="0" tabSelected="1" zoomScaleNormal="100" workbookViewId="0">
      <selection activeCell="E13" sqref="E13"/>
    </sheetView>
  </sheetViews>
  <sheetFormatPr defaultColWidth="8.6640625" defaultRowHeight="14.25"/>
  <cols>
    <col min="1" max="1" width="3" customWidth="1"/>
    <col min="2" max="2" width="24" customWidth="1"/>
    <col min="3" max="5" width="16" customWidth="1"/>
    <col min="6" max="6" width="20" customWidth="1"/>
  </cols>
  <sheetData>
    <row r="1" spans="2:6" ht="30" customHeight="1">
      <c r="B1" s="68" t="s">
        <v>136</v>
      </c>
      <c r="C1" s="68"/>
      <c r="D1" s="68"/>
      <c r="E1" s="68"/>
      <c r="F1" s="68"/>
    </row>
    <row r="3" spans="2:6" ht="18" customHeight="1">
      <c r="B3" s="69" t="s">
        <v>137</v>
      </c>
      <c r="C3" s="69"/>
      <c r="D3" s="69"/>
      <c r="E3" s="69"/>
      <c r="F3" s="69"/>
    </row>
    <row r="5" spans="2:6" ht="21.75" customHeight="1">
      <c r="B5" s="10" t="s">
        <v>138</v>
      </c>
      <c r="C5" s="10"/>
      <c r="D5" s="10"/>
      <c r="E5" s="10"/>
      <c r="F5" s="10"/>
    </row>
    <row r="6" spans="2:6" ht="18" customHeight="1">
      <c r="B6" s="20" t="s">
        <v>139</v>
      </c>
      <c r="C6" s="20" t="s">
        <v>140</v>
      </c>
      <c r="D6" s="59" t="s">
        <v>141</v>
      </c>
      <c r="E6" s="59" t="s">
        <v>142</v>
      </c>
      <c r="F6" s="20" t="s">
        <v>143</v>
      </c>
    </row>
    <row r="7" spans="2:6" ht="19.5" customHeight="1">
      <c r="B7" s="37" t="s">
        <v>144</v>
      </c>
      <c r="C7" s="47">
        <v>10</v>
      </c>
      <c r="D7" s="47">
        <v>9.99</v>
      </c>
      <c r="E7" s="60">
        <f>최적화_메인!C5</f>
        <v>9.9874856478925178</v>
      </c>
      <c r="F7" s="61" t="s">
        <v>145</v>
      </c>
    </row>
    <row r="8" spans="2:6" ht="19.5" customHeight="1">
      <c r="B8" s="17" t="s">
        <v>146</v>
      </c>
      <c r="C8" s="48">
        <v>0.6069</v>
      </c>
      <c r="D8" s="48">
        <v>0.77500000000000002</v>
      </c>
      <c r="E8" s="60">
        <f>최적화_메인!C6</f>
        <v>0.7749520791462905</v>
      </c>
      <c r="F8" s="62" t="s">
        <v>145</v>
      </c>
    </row>
    <row r="10" spans="2:6" ht="21.75" customHeight="1">
      <c r="B10" s="10" t="s">
        <v>147</v>
      </c>
      <c r="C10" s="10"/>
      <c r="D10" s="10"/>
      <c r="E10" s="10"/>
      <c r="F10" s="10"/>
    </row>
    <row r="11" spans="2:6" ht="18" customHeight="1">
      <c r="B11" s="20" t="s">
        <v>139</v>
      </c>
      <c r="C11" s="20" t="s">
        <v>148</v>
      </c>
      <c r="D11" s="59" t="s">
        <v>141</v>
      </c>
      <c r="E11" s="59" t="s">
        <v>142</v>
      </c>
      <c r="F11" s="20" t="s">
        <v>149</v>
      </c>
    </row>
    <row r="12" spans="2:6" ht="19.5" customHeight="1">
      <c r="B12" s="57" t="s">
        <v>150</v>
      </c>
      <c r="C12" s="63">
        <v>104416</v>
      </c>
      <c r="D12" s="63">
        <v>55128</v>
      </c>
      <c r="E12" s="72">
        <f>최적화_메인!C14</f>
        <v>55128.490508245086</v>
      </c>
      <c r="F12" s="61" t="s">
        <v>151</v>
      </c>
    </row>
    <row r="13" spans="2:6" ht="19.5" customHeight="1">
      <c r="B13" s="58" t="s">
        <v>152</v>
      </c>
      <c r="C13" s="65">
        <v>0.87439999999999996</v>
      </c>
      <c r="D13" s="65">
        <v>0.88729999999999998</v>
      </c>
      <c r="E13" s="64">
        <f>최적화_메인!C20</f>
        <v>0.88733242777647714</v>
      </c>
      <c r="F13" s="62" t="s">
        <v>151</v>
      </c>
    </row>
    <row r="16" spans="2:6" ht="21.75" customHeight="1">
      <c r="B16" s="1" t="s">
        <v>153</v>
      </c>
      <c r="C16" s="1"/>
      <c r="D16" s="1"/>
      <c r="E16" s="1"/>
      <c r="F16" s="1"/>
    </row>
    <row r="17" spans="2:6" ht="18" customHeight="1">
      <c r="B17" s="70" t="s">
        <v>154</v>
      </c>
      <c r="C17" s="70"/>
      <c r="D17" s="70"/>
      <c r="E17" s="70"/>
      <c r="F17" s="70"/>
    </row>
    <row r="18" spans="2:6" ht="18" customHeight="1">
      <c r="B18" s="70" t="s">
        <v>155</v>
      </c>
      <c r="C18" s="70"/>
      <c r="D18" s="70"/>
      <c r="E18" s="70"/>
      <c r="F18" s="70"/>
    </row>
    <row r="19" spans="2:6" ht="18" customHeight="1">
      <c r="B19" s="71" t="s">
        <v>156</v>
      </c>
      <c r="C19" s="71"/>
      <c r="D19" s="71"/>
      <c r="E19" s="71"/>
      <c r="F19" s="71"/>
    </row>
    <row r="20" spans="2:6" ht="18" customHeight="1">
      <c r="B20" s="71" t="s">
        <v>157</v>
      </c>
      <c r="C20" s="71"/>
      <c r="D20" s="71"/>
      <c r="E20" s="71"/>
      <c r="F20" s="71"/>
    </row>
    <row r="21" spans="2:6" ht="18" customHeight="1">
      <c r="B21" s="71" t="s">
        <v>158</v>
      </c>
      <c r="C21" s="71"/>
      <c r="D21" s="71"/>
      <c r="E21" s="71"/>
      <c r="F21" s="71"/>
    </row>
  </sheetData>
  <mergeCells count="10">
    <mergeCell ref="B17:F17"/>
    <mergeCell ref="B18:F18"/>
    <mergeCell ref="B19:F19"/>
    <mergeCell ref="B20:F20"/>
    <mergeCell ref="B21:F21"/>
    <mergeCell ref="B1:F1"/>
    <mergeCell ref="B3:F3"/>
    <mergeCell ref="B5:F5"/>
    <mergeCell ref="B10:F10"/>
    <mergeCell ref="B16:F16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고정변수_참조</vt:lpstr>
      <vt:lpstr>최적화_메인</vt:lpstr>
      <vt:lpstr>결과_비교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이태현</cp:lastModifiedBy>
  <cp:revision>0</cp:revision>
  <dcterms:created xsi:type="dcterms:W3CDTF">2026-06-07T04:03:25Z</dcterms:created>
  <dcterms:modified xsi:type="dcterms:W3CDTF">2026-06-07T05:29:39Z</dcterms:modified>
  <dc:language>en-US</dc:language>
</cp:coreProperties>
</file>